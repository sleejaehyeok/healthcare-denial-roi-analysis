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467" documentId="8_{600066B5-22B1-4986-88A6-A2F0D10FDFAE}" xr6:coauthVersionLast="47" xr6:coauthVersionMax="47" xr10:uidLastSave="{34BD3436-DCBC-4F8B-BB6D-9E0F9F796EB9}"/>
  <bookViews>
    <workbookView xWindow="-108" yWindow="-108" windowWidth="23256" windowHeight="13896" activeTab="1" xr2:uid="{0484E850-02E4-48D9-8249-F35A591E6A2F}"/>
  </bookViews>
  <sheets>
    <sheet name="Outputs" sheetId="1" r:id="rId1"/>
    <sheet name="Scenari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C9" i="1"/>
  <c r="C11" i="1"/>
  <c r="C10" i="1"/>
  <c r="C18" i="1" l="1"/>
  <c r="C20" i="1" s="1"/>
  <c r="C19" i="1"/>
  <c r="C21" i="1" l="1"/>
  <c r="B25" i="1" s="1"/>
</calcChain>
</file>

<file path=xl/sharedStrings.xml><?xml version="1.0" encoding="utf-8"?>
<sst xmlns="http://schemas.openxmlformats.org/spreadsheetml/2006/main" count="32" uniqueCount="28">
  <si>
    <t>Avg Claim Value</t>
  </si>
  <si>
    <t>Success (P)</t>
  </si>
  <si>
    <t>Labor (min)</t>
  </si>
  <si>
    <t>Wage (hr)</t>
  </si>
  <si>
    <t>Payment Delays (days)</t>
  </si>
  <si>
    <t>Cost of Capital (annual)</t>
  </si>
  <si>
    <t>FV of denial</t>
  </si>
  <si>
    <t>Liklihood of winning appeal</t>
  </si>
  <si>
    <t>Time to research/follow-up/file</t>
  </si>
  <si>
    <t>Fully Burdened (Salary + Bonuses)</t>
  </si>
  <si>
    <t>Days between denial and payment</t>
  </si>
  <si>
    <t>Expected Recovery</t>
  </si>
  <si>
    <t>Labor Costs</t>
  </si>
  <si>
    <t>Cash Delay Cost</t>
  </si>
  <si>
    <t>NET ROI per Appeal</t>
  </si>
  <si>
    <t>Assumptions (Inputs)</t>
  </si>
  <si>
    <t xml:space="preserve">Sensitivity Analysis </t>
  </si>
  <si>
    <t>Parameter</t>
  </si>
  <si>
    <t>Worst Case</t>
  </si>
  <si>
    <t>Best Case</t>
  </si>
  <si>
    <t>Base Case</t>
  </si>
  <si>
    <t>Payment Delay</t>
  </si>
  <si>
    <t>Select Scenerio:</t>
  </si>
  <si>
    <t>Internal Hurdle Rate</t>
  </si>
  <si>
    <t>Calculations</t>
  </si>
  <si>
    <t>Healthcare Denial ROI Model</t>
  </si>
  <si>
    <t>Sam Lee</t>
  </si>
  <si>
    <t>A model to determine the financial break-even point for the appeal of denied insurance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</si>
</sst>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164" fontId="0" fillId="0" borderId="0" xfId="1" applyNumberFormat="1" applyFont="1"/>
    <xf numFmtId="9" fontId="0" fillId="0" borderId="0" xfId="2" applyFont="1"/>
    <xf numFmtId="0" fontId="0" fillId="0" borderId="1" xfId="0" applyBorder="1"/>
    <xf numFmtId="9" fontId="0" fillId="0" borderId="1" xfId="0" applyNumberFormat="1" applyBorder="1"/>
    <xf numFmtId="164" fontId="0" fillId="0" borderId="0" xfId="0" applyNumberFormat="1"/>
    <xf numFmtId="0" fontId="2" fillId="0" borderId="0" xfId="0" applyFont="1"/>
    <xf numFmtId="164" fontId="0" fillId="0" borderId="1" xfId="0" applyNumberFormat="1" applyBorder="1"/>
    <xf numFmtId="9" fontId="0" fillId="0" borderId="0" xfId="0" applyNumberFormat="1"/>
    <xf numFmtId="164" fontId="0" fillId="0" borderId="2" xfId="0" applyNumberFormat="1" applyBorder="1"/>
    <xf numFmtId="164" fontId="0" fillId="0" borderId="4" xfId="0" applyNumberFormat="1" applyBorder="1" applyAlignment="1">
      <alignment horizontal="center"/>
    </xf>
    <xf numFmtId="9" fontId="0" fillId="0" borderId="3" xfId="2" applyFont="1" applyBorder="1"/>
    <xf numFmtId="0" fontId="2" fillId="2" borderId="5" xfId="0" applyFont="1" applyFill="1" applyBorder="1" applyAlignment="1">
      <alignment horizontal="right"/>
    </xf>
    <xf numFmtId="44" fontId="0" fillId="0" borderId="0" xfId="1" applyFont="1"/>
    <xf numFmtId="44" fontId="0" fillId="0" borderId="0" xfId="0" applyNumberFormat="1"/>
    <xf numFmtId="0" fontId="0" fillId="0" borderId="7" xfId="0" applyBorder="1"/>
    <xf numFmtId="164" fontId="0" fillId="0" borderId="7" xfId="0" applyNumberFormat="1" applyBorder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2" fillId="0" borderId="6" xfId="0" applyFont="1" applyBorder="1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ROI Sensitivity: Where Do We Lose Money 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$25 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Outputs!$B$26:$B$34</c:f>
              <c:numCache>
                <c:formatCode>0%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xVal>
          <c:yVal>
            <c:numRef>
              <c:f>Outputs!$C$26:$C$34</c:f>
              <c:numCache>
                <c:formatCode>_("$"* #,##0.00_);_("$"* \(#,##0.00\);_("$"* "-"??_);_(@_)</c:formatCode>
                <c:ptCount val="9"/>
                <c:pt idx="0">
                  <c:v>-12.549315068493151</c:v>
                </c:pt>
                <c:pt idx="1">
                  <c:v>-10.098630136986301</c:v>
                </c:pt>
                <c:pt idx="2">
                  <c:v>-7.6479452054794521</c:v>
                </c:pt>
                <c:pt idx="3">
                  <c:v>-5.1972602739726028</c:v>
                </c:pt>
                <c:pt idx="4">
                  <c:v>-2.7465753424657535</c:v>
                </c:pt>
                <c:pt idx="5">
                  <c:v>-0.29589041095890412</c:v>
                </c:pt>
                <c:pt idx="6">
                  <c:v>2.1547945205479451</c:v>
                </c:pt>
                <c:pt idx="7">
                  <c:v>4.6054794520547944</c:v>
                </c:pt>
                <c:pt idx="8">
                  <c:v>7.0561643835616437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F7-4E34-ABFD-2451E2F3BD17}"/>
            </c:ext>
          </c:extLst>
        </c:ser>
        <c:ser>
          <c:idx val="2"/>
          <c:order val="1"/>
          <c:tx>
            <c:v>$100 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Outputs!$B$26:$B$34</c:f>
              <c:numCache>
                <c:formatCode>0%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xVal>
          <c:yVal>
            <c:numRef>
              <c:f>Outputs!$E$26:$E$34</c:f>
              <c:numCache>
                <c:formatCode>_("$"* #,##0.00_);_("$"* \(#,##0.00\);_("$"* "-"??_);_(@_)</c:formatCode>
                <c:ptCount val="9"/>
                <c:pt idx="0">
                  <c:v>-5.1972602739726028</c:v>
                </c:pt>
                <c:pt idx="1">
                  <c:v>4.6054794520547944</c:v>
                </c:pt>
                <c:pt idx="2">
                  <c:v>14.408219178082192</c:v>
                </c:pt>
                <c:pt idx="3">
                  <c:v>24.210958904109589</c:v>
                </c:pt>
                <c:pt idx="4">
                  <c:v>34.013698630136986</c:v>
                </c:pt>
                <c:pt idx="5">
                  <c:v>43.816438356164383</c:v>
                </c:pt>
                <c:pt idx="6">
                  <c:v>53.61917808219178</c:v>
                </c:pt>
                <c:pt idx="7">
                  <c:v>63.421917808219177</c:v>
                </c:pt>
                <c:pt idx="8">
                  <c:v>73.224657534246575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DF7-4E34-ABFD-2451E2F3BD17}"/>
            </c:ext>
          </c:extLst>
        </c:ser>
        <c:ser>
          <c:idx val="4"/>
          <c:order val="2"/>
          <c:tx>
            <c:v>$200 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Outputs!$B$26:$B$34</c:f>
              <c:numCache>
                <c:formatCode>0%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xVal>
          <c:yVal>
            <c:numRef>
              <c:f>Outputs!$G$26:$G$34</c:f>
              <c:numCache>
                <c:formatCode>_("$"* #,##0.00_);_("$"* \(#,##0.00\);_("$"* "-"??_);_(@_)</c:formatCode>
                <c:ptCount val="9"/>
                <c:pt idx="0">
                  <c:v>4.6054794520547944</c:v>
                </c:pt>
                <c:pt idx="1">
                  <c:v>24.210958904109589</c:v>
                </c:pt>
                <c:pt idx="2">
                  <c:v>43.816438356164383</c:v>
                </c:pt>
                <c:pt idx="3">
                  <c:v>63.421917808219177</c:v>
                </c:pt>
                <c:pt idx="4">
                  <c:v>83.027397260273972</c:v>
                </c:pt>
                <c:pt idx="5">
                  <c:v>102.63287671232877</c:v>
                </c:pt>
                <c:pt idx="6">
                  <c:v>122.23835616438356</c:v>
                </c:pt>
                <c:pt idx="7">
                  <c:v>141.84383561643835</c:v>
                </c:pt>
                <c:pt idx="8">
                  <c:v>161.44931506849315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DF7-4E34-ABFD-2451E2F3BD17}"/>
            </c:ext>
          </c:extLst>
        </c:ser>
        <c:ser>
          <c:idx val="1"/>
          <c:order val="3"/>
          <c:tx>
            <c:v>Break Even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Outputs!$B$26:$B$34</c:f>
              <c:numCache>
                <c:formatCode>0%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xVal>
          <c:yVal>
            <c:numLit>
              <c:formatCode>General</c:formatCode>
              <c:ptCount val="11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9DF7-4E34-ABFD-2451E2F3BD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6543120"/>
        <c:axId val="1776553200"/>
      </c:scatterChart>
      <c:valAx>
        <c:axId val="1776543120"/>
        <c:scaling>
          <c:orientation val="minMax"/>
          <c:max val="0.9"/>
          <c:min val="0.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Success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553200"/>
        <c:crosses val="autoZero"/>
        <c:crossBetween val="midCat"/>
      </c:valAx>
      <c:valAx>
        <c:axId val="17765532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543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243779</xdr:colOff>
      <xdr:row>13</xdr:row>
      <xdr:rowOff>145393</xdr:rowOff>
    </xdr:from>
    <xdr:to>
      <xdr:col>18</xdr:col>
      <xdr:colOff>392558</xdr:colOff>
      <xdr:row>34</xdr:row>
      <xdr:rowOff>99511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FF1CC86-4ABC-E81C-2DD0-9EA0DD7C59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82043-E221-4E12-89D4-CC680399EDE3}">
  <dimension ref="B1:H34"/>
  <sheetViews>
    <sheetView showGridLines="0" topLeftCell="A11" zoomScale="63" zoomScaleNormal="46" workbookViewId="0">
      <selection activeCell="C6" sqref="C6"/>
    </sheetView>
  </sheetViews>
  <sheetFormatPr defaultRowHeight="14.4" x14ac:dyDescent="0.3"/>
  <cols>
    <col min="2" max="2" width="22" bestFit="1" customWidth="1"/>
    <col min="3" max="3" width="12.77734375" customWidth="1"/>
    <col min="4" max="4" width="9.33203125" customWidth="1"/>
    <col min="5" max="7" width="10" bestFit="1" customWidth="1"/>
    <col min="8" max="8" width="11.5546875" bestFit="1" customWidth="1"/>
    <col min="9" max="9" width="14.109375" bestFit="1" customWidth="1"/>
    <col min="10" max="10" width="10.21875" bestFit="1" customWidth="1"/>
  </cols>
  <sheetData>
    <row r="1" spans="2:6" ht="15" thickBot="1" x14ac:dyDescent="0.35"/>
    <row r="2" spans="2:6" ht="18" x14ac:dyDescent="0.35">
      <c r="B2" s="17" t="s">
        <v>25</v>
      </c>
    </row>
    <row r="3" spans="2:6" ht="15.6" x14ac:dyDescent="0.3">
      <c r="B3" s="18" t="s">
        <v>26</v>
      </c>
    </row>
    <row r="4" spans="2:6" x14ac:dyDescent="0.3">
      <c r="B4" t="s">
        <v>27</v>
      </c>
      <c r="F4" s="19"/>
    </row>
    <row r="5" spans="2:6" ht="18.600000000000001" thickBot="1" x14ac:dyDescent="0.4">
      <c r="B5" s="17"/>
    </row>
    <row r="6" spans="2:6" ht="15" thickBot="1" x14ac:dyDescent="0.35">
      <c r="B6" s="12" t="s">
        <v>22</v>
      </c>
      <c r="C6" s="20" t="s">
        <v>20</v>
      </c>
    </row>
    <row r="8" spans="2:6" x14ac:dyDescent="0.3">
      <c r="B8" s="6" t="s">
        <v>15</v>
      </c>
    </row>
    <row r="9" spans="2:6" x14ac:dyDescent="0.3">
      <c r="B9" t="s">
        <v>0</v>
      </c>
      <c r="C9" s="1">
        <f>_xlfn.XLOOKUP($C$6,Scenarios!$B$1:$D$1,Scenarios!$B$2:$D$2)</f>
        <v>300</v>
      </c>
      <c r="D9" t="s">
        <v>6</v>
      </c>
    </row>
    <row r="10" spans="2:6" x14ac:dyDescent="0.3">
      <c r="B10" t="s">
        <v>1</v>
      </c>
      <c r="C10" s="2">
        <f>_xlfn.XLOOKUP($C$6, Scenarios!$B$1:$D$1, Scenarios!$B$3:$D$3)</f>
        <v>0.4</v>
      </c>
      <c r="D10" t="s">
        <v>7</v>
      </c>
    </row>
    <row r="11" spans="2:6" x14ac:dyDescent="0.3">
      <c r="B11" t="s">
        <v>2</v>
      </c>
      <c r="C11">
        <f>_xlfn.XLOOKUP($C$6,Scenarios!$B$1:$D$1,Scenarios!$B$4:$D$4)</f>
        <v>30</v>
      </c>
      <c r="D11" t="s">
        <v>8</v>
      </c>
    </row>
    <row r="12" spans="2:6" x14ac:dyDescent="0.3">
      <c r="B12" t="s">
        <v>3</v>
      </c>
      <c r="C12" s="1">
        <v>30</v>
      </c>
      <c r="D12" t="s">
        <v>9</v>
      </c>
    </row>
    <row r="13" spans="2:6" x14ac:dyDescent="0.3">
      <c r="B13" t="s">
        <v>4</v>
      </c>
      <c r="C13">
        <f>_xlfn.XLOOKUP($C$6,Scenarios!$B$1:$D$1,Scenarios!$B$5:$D$5)</f>
        <v>90</v>
      </c>
      <c r="D13" t="s">
        <v>10</v>
      </c>
    </row>
    <row r="14" spans="2:6" ht="15" thickBot="1" x14ac:dyDescent="0.35">
      <c r="B14" s="3" t="s">
        <v>5</v>
      </c>
      <c r="C14" s="4">
        <v>0.08</v>
      </c>
      <c r="D14" s="3" t="s">
        <v>23</v>
      </c>
      <c r="E14" s="3"/>
      <c r="F14" s="3"/>
    </row>
    <row r="15" spans="2:6" ht="15" thickTop="1" x14ac:dyDescent="0.3">
      <c r="C15" s="8"/>
    </row>
    <row r="17" spans="2:8" x14ac:dyDescent="0.3">
      <c r="B17" s="6" t="s">
        <v>24</v>
      </c>
    </row>
    <row r="18" spans="2:8" x14ac:dyDescent="0.3">
      <c r="B18" t="s">
        <v>11</v>
      </c>
      <c r="C18" s="5">
        <f>C9*C10</f>
        <v>120</v>
      </c>
    </row>
    <row r="19" spans="2:8" x14ac:dyDescent="0.3">
      <c r="B19" t="s">
        <v>12</v>
      </c>
      <c r="C19" s="5">
        <f>(C11/60)*C12</f>
        <v>15</v>
      </c>
    </row>
    <row r="20" spans="2:8" x14ac:dyDescent="0.3">
      <c r="B20" s="15" t="s">
        <v>13</v>
      </c>
      <c r="C20" s="16">
        <f>C18*(C14*(C13/365))</f>
        <v>2.3671232876712329</v>
      </c>
    </row>
    <row r="21" spans="2:8" ht="15" thickBot="1" x14ac:dyDescent="0.35">
      <c r="B21" s="3" t="s">
        <v>14</v>
      </c>
      <c r="C21" s="7">
        <f>C18-C19-C20</f>
        <v>102.63287671232877</v>
      </c>
      <c r="D21" s="3"/>
      <c r="E21" s="3"/>
      <c r="F21" s="3"/>
    </row>
    <row r="22" spans="2:8" ht="15" thickTop="1" x14ac:dyDescent="0.3"/>
    <row r="23" spans="2:8" x14ac:dyDescent="0.3">
      <c r="B23" s="5"/>
    </row>
    <row r="24" spans="2:8" x14ac:dyDescent="0.3">
      <c r="B24" s="6" t="s">
        <v>16</v>
      </c>
    </row>
    <row r="25" spans="2:8" ht="15" thickBot="1" x14ac:dyDescent="0.35">
      <c r="B25" s="10">
        <f>C21</f>
        <v>102.63287671232877</v>
      </c>
      <c r="C25" s="9">
        <v>25</v>
      </c>
      <c r="D25" s="9">
        <v>50</v>
      </c>
      <c r="E25" s="9">
        <v>100</v>
      </c>
      <c r="F25" s="9">
        <v>150</v>
      </c>
      <c r="G25" s="9">
        <v>200</v>
      </c>
      <c r="H25" s="9">
        <v>1000</v>
      </c>
    </row>
    <row r="26" spans="2:8" x14ac:dyDescent="0.3">
      <c r="B26" s="11">
        <v>0.1</v>
      </c>
      <c r="C26" s="13">
        <f t="dataTable" ref="C26:H34" dt2D="1" dtr="1" r1="C9" r2="C10"/>
        <v>-12.549315068493151</v>
      </c>
      <c r="D26" s="13">
        <v>-10.098630136986301</v>
      </c>
      <c r="E26" s="13">
        <v>-5.1972602739726028</v>
      </c>
      <c r="F26" s="13">
        <v>-0.29589041095890412</v>
      </c>
      <c r="G26" s="13">
        <v>4.6054794520547944</v>
      </c>
      <c r="H26" s="14">
        <v>83.027397260273972</v>
      </c>
    </row>
    <row r="27" spans="2:8" x14ac:dyDescent="0.3">
      <c r="B27" s="11">
        <v>0.2</v>
      </c>
      <c r="C27" s="13">
        <v>-10.098630136986301</v>
      </c>
      <c r="D27" s="13">
        <v>-5.1972602739726028</v>
      </c>
      <c r="E27" s="13">
        <v>4.6054794520547944</v>
      </c>
      <c r="F27" s="13">
        <v>14.408219178082192</v>
      </c>
      <c r="G27" s="13">
        <v>24.210958904109589</v>
      </c>
      <c r="H27" s="14">
        <v>181.05479452054794</v>
      </c>
    </row>
    <row r="28" spans="2:8" x14ac:dyDescent="0.3">
      <c r="B28" s="11">
        <v>0.3</v>
      </c>
      <c r="C28" s="13">
        <v>-7.6479452054794521</v>
      </c>
      <c r="D28" s="13">
        <v>-0.29589041095890412</v>
      </c>
      <c r="E28" s="13">
        <v>14.408219178082192</v>
      </c>
      <c r="F28" s="13">
        <v>29.112328767123287</v>
      </c>
      <c r="G28" s="13">
        <v>43.816438356164383</v>
      </c>
      <c r="H28" s="14">
        <v>279.08219178082192</v>
      </c>
    </row>
    <row r="29" spans="2:8" x14ac:dyDescent="0.3">
      <c r="B29" s="11">
        <v>0.4</v>
      </c>
      <c r="C29" s="13">
        <v>-5.1972602739726028</v>
      </c>
      <c r="D29" s="13">
        <v>4.6054794520547944</v>
      </c>
      <c r="E29" s="13">
        <v>24.210958904109589</v>
      </c>
      <c r="F29" s="13">
        <v>43.816438356164383</v>
      </c>
      <c r="G29" s="13">
        <v>63.421917808219177</v>
      </c>
      <c r="H29" s="14">
        <v>377.10958904109589</v>
      </c>
    </row>
    <row r="30" spans="2:8" x14ac:dyDescent="0.3">
      <c r="B30" s="11">
        <v>0.5</v>
      </c>
      <c r="C30" s="13">
        <v>-2.7465753424657535</v>
      </c>
      <c r="D30" s="13">
        <v>9.506849315068493</v>
      </c>
      <c r="E30" s="13">
        <v>34.013698630136986</v>
      </c>
      <c r="F30" s="13">
        <v>58.520547945205479</v>
      </c>
      <c r="G30" s="13">
        <v>83.027397260273972</v>
      </c>
      <c r="H30" s="14">
        <v>475.13698630136986</v>
      </c>
    </row>
    <row r="31" spans="2:8" x14ac:dyDescent="0.3">
      <c r="B31" s="11">
        <v>0.6</v>
      </c>
      <c r="C31" s="13">
        <v>-0.29589041095890412</v>
      </c>
      <c r="D31" s="13">
        <v>14.408219178082192</v>
      </c>
      <c r="E31" s="13">
        <v>43.816438356164383</v>
      </c>
      <c r="F31" s="13">
        <v>73.224657534246575</v>
      </c>
      <c r="G31" s="13">
        <v>102.63287671232877</v>
      </c>
      <c r="H31" s="14">
        <v>573.16438356164383</v>
      </c>
    </row>
    <row r="32" spans="2:8" x14ac:dyDescent="0.3">
      <c r="B32" s="11">
        <v>0.7</v>
      </c>
      <c r="C32" s="13">
        <v>2.1547945205479451</v>
      </c>
      <c r="D32" s="13">
        <v>19.30958904109589</v>
      </c>
      <c r="E32" s="13">
        <v>53.61917808219178</v>
      </c>
      <c r="F32" s="13">
        <v>87.92876712328767</v>
      </c>
      <c r="G32" s="13">
        <v>122.23835616438356</v>
      </c>
      <c r="H32" s="14">
        <v>671.19178082191786</v>
      </c>
    </row>
    <row r="33" spans="2:8" x14ac:dyDescent="0.3">
      <c r="B33" s="11">
        <v>0.8</v>
      </c>
      <c r="C33" s="13">
        <v>4.6054794520547944</v>
      </c>
      <c r="D33" s="13">
        <v>24.210958904109589</v>
      </c>
      <c r="E33" s="13">
        <v>63.421917808219177</v>
      </c>
      <c r="F33" s="13">
        <v>102.63287671232877</v>
      </c>
      <c r="G33" s="13">
        <v>141.84383561643835</v>
      </c>
      <c r="H33" s="14">
        <v>769.21917808219177</v>
      </c>
    </row>
    <row r="34" spans="2:8" x14ac:dyDescent="0.3">
      <c r="B34" s="11">
        <v>0.9</v>
      </c>
      <c r="C34" s="13">
        <v>7.0561643835616437</v>
      </c>
      <c r="D34" s="13">
        <v>29.112328767123287</v>
      </c>
      <c r="E34" s="13">
        <v>73.224657534246575</v>
      </c>
      <c r="F34" s="13">
        <v>117.33698630136986</v>
      </c>
      <c r="G34" s="13">
        <v>161.44931506849315</v>
      </c>
      <c r="H34" s="14">
        <v>867.2465753424658</v>
      </c>
    </row>
  </sheetData>
  <conditionalFormatting sqref="C26:H34">
    <cfRule type="cellIs" dxfId="1" priority="1" operator="lessThan">
      <formula>0</formula>
    </cfRule>
    <cfRule type="cellIs" dxfId="0" priority="2" operator="greaterThan">
      <formula>0</formula>
    </cfRule>
  </conditionalFormatting>
  <dataValidations count="1">
    <dataValidation type="list" allowBlank="1" showInputMessage="1" showErrorMessage="1" sqref="C6" xr:uid="{758C9C3B-3360-403A-ACDC-2828917D4884}">
      <formula1>"Worst Case, Base Case, Best Case"</formula1>
    </dataValidation>
  </dataValidation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64E49-6272-4EB6-94F4-437B39E89B28}">
  <dimension ref="A1:D5"/>
  <sheetViews>
    <sheetView tabSelected="1" workbookViewId="0">
      <selection activeCell="B5" sqref="B5"/>
    </sheetView>
  </sheetViews>
  <sheetFormatPr defaultRowHeight="14.4" x14ac:dyDescent="0.3"/>
  <cols>
    <col min="1" max="1" width="13.77734375" bestFit="1" customWidth="1"/>
    <col min="2" max="2" width="10.33203125" bestFit="1" customWidth="1"/>
    <col min="3" max="3" width="9.44140625" bestFit="1" customWidth="1"/>
    <col min="4" max="4" width="9.109375" bestFit="1" customWidth="1"/>
    <col min="5" max="5" width="9" bestFit="1" customWidth="1"/>
  </cols>
  <sheetData>
    <row r="1" spans="1:4" x14ac:dyDescent="0.3">
      <c r="A1" s="6" t="s">
        <v>17</v>
      </c>
      <c r="B1" s="6" t="s">
        <v>18</v>
      </c>
      <c r="C1" s="6" t="s">
        <v>20</v>
      </c>
      <c r="D1" s="6" t="s">
        <v>19</v>
      </c>
    </row>
    <row r="2" spans="1:4" x14ac:dyDescent="0.3">
      <c r="A2" t="s">
        <v>0</v>
      </c>
      <c r="B2" s="1">
        <v>150</v>
      </c>
      <c r="C2" s="1">
        <v>300</v>
      </c>
      <c r="D2" s="1">
        <v>450</v>
      </c>
    </row>
    <row r="3" spans="1:4" x14ac:dyDescent="0.3">
      <c r="A3" t="s">
        <v>1</v>
      </c>
      <c r="B3" s="2">
        <v>0.2</v>
      </c>
      <c r="C3" s="2">
        <v>0.4</v>
      </c>
      <c r="D3" s="2">
        <v>0.6</v>
      </c>
    </row>
    <row r="4" spans="1:4" x14ac:dyDescent="0.3">
      <c r="A4" t="s">
        <v>2</v>
      </c>
      <c r="B4">
        <v>45</v>
      </c>
      <c r="C4">
        <v>30</v>
      </c>
      <c r="D4">
        <v>15</v>
      </c>
    </row>
    <row r="5" spans="1:4" x14ac:dyDescent="0.3">
      <c r="A5" t="s">
        <v>21</v>
      </c>
      <c r="B5">
        <v>120</v>
      </c>
      <c r="C5">
        <v>90</v>
      </c>
      <c r="D5">
        <v>45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Outputs</vt:lpstr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2025-12-30T23:38:22Z</dcterms:created>
  <dcterms:modified xsi:type="dcterms:W3CDTF">2026-01-03T01:18:38Z</dcterms:modified>
</cp:coreProperties>
</file>